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ntities" sheetId="1" state="visible" r:id="rId1"/>
    <sheet name="02_Aliases" sheetId="2" state="visible" r:id="rId2"/>
    <sheet name="03_Contacts" sheetId="3" state="visible" r:id="rId3"/>
    <sheet name="04_EntityRoles" sheetId="4" state="visible" r:id="rId4"/>
    <sheet name="90_MasterIndex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tblEntities" displayName="tblEntities" ref="A1:F4" headerRowCount="1">
  <autoFilter ref="A1:F4"/>
  <tableColumns count="6">
    <tableColumn id="1" name="Entity_ID"/>
    <tableColumn id="2" name="Canonical_Name"/>
    <tableColumn id="3" name="Entity_Type"/>
    <tableColumn id="4" name="DOB"/>
    <tableColumn id="5" name="DOD"/>
    <tableColumn id="6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Aliases" displayName="tblAliases" ref="A1:B3" headerRowCount="1">
  <autoFilter ref="A1:B3"/>
  <tableColumns count="2">
    <tableColumn id="1" name="Entity_ID"/>
    <tableColumn id="2" name="Alias_Valu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Contacts" displayName="tblContacts" ref="A1:C6" headerRowCount="1">
  <autoFilter ref="A1:C6"/>
  <tableColumns count="3">
    <tableColumn id="1" name="Entity_ID"/>
    <tableColumn id="2" name="Contact_Type"/>
    <tableColumn id="3" name="Contact_Valu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EntityRoles" displayName="tblEntityRoles" ref="A1:D4" headerRowCount="1">
  <autoFilter ref="A1:D4"/>
  <tableColumns count="4">
    <tableColumn id="1" name="Entity_ID"/>
    <tableColumn id="2" name="Matter"/>
    <tableColumn id="3" name="Role_Context"/>
    <tableColumn id="4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MasterIndex" displayName="tblMasterIndex" ref="A1:J4" headerRowCount="1">
  <autoFilter ref="A1:J4"/>
  <tableColumns count="10">
    <tableColumn id="1" name="Entity_ID">
      <calculatedColumnFormula>INDEX(tblEntities[Entity_ID],ROW()-1)</calculatedColumnFormula>
    </tableColumn>
    <tableColumn id="2" name="Canonical_Name">
      <calculatedColumnFormula>IFERROR(XLOOKUP([@Entity_ID],tblEntities[Entity_ID],tblEntities[Canonical_Name]),"")</calculatedColumnFormula>
    </tableColumn>
    <tableColumn id="3" name="Entity_Type">
      <calculatedColumnFormula>IFERROR(XLOOKUP([@Entity_ID],tblEntities[Entity_ID],tblEntities[Entity_Type]),"")</calculatedColumnFormula>
    </tableColumn>
    <tableColumn id="4" name="DOB">
      <calculatedColumnFormula>IFERROR(XLOOKUP([@Entity_ID],tblEntities[Entity_ID],tblEntities[DOB]),"")</calculatedColumnFormula>
    </tableColumn>
    <tableColumn id="5" name="DOD">
      <calculatedColumnFormula>IFERROR(XLOOKUP([@Entity_ID],tblEntities[Entity_ID],tblEntities[DOD]),"")</calculatedColumnFormula>
    </tableColumn>
    <tableColumn id="6" name="Aliases">
      <calculatedColumnFormula>IFERROR(TEXTJOIN("; ",TRUE,FILTER(tblAliases[Alias_Value],tblAliases[Entity_ID]=[@Entity_ID])),"")</calculatedColumnFormula>
    </tableColumn>
    <tableColumn id="7" name="Emails">
      <calculatedColumnFormula>IFERROR(TEXTJOIN("; ",TRUE,FILTER(tblContacts[Contact_Value],(tblContacts[Entity_ID]=[@Entity_ID])*(tblContacts[Contact_Type]="Email"))),"")</calculatedColumnFormula>
    </tableColumn>
    <tableColumn id="8" name="Phone_Main">
      <calculatedColumnFormula>IFERROR(TEXTJOIN("; ",TRUE,FILTER(tblContacts[Contact_Value],(tblContacts[Entity_ID]=[@Entity_ID])*(tblContacts[Contact_Type]="Phone Main"))),"")</calculatedColumnFormula>
    </tableColumn>
    <tableColumn id="9" name="Phone_Mobile">
      <calculatedColumnFormula>IFERROR(TEXTJOIN("; ",TRUE,FILTER(tblContacts[Contact_Value],(tblContacts[Entity_ID]=[@Entity_ID])*(tblContacts[Contact_Type]="Phone Mobile"))),"")</calculatedColumnFormula>
    </tableColumn>
    <tableColumn id="10" name="URLs">
      <calculatedColumnFormula>IFERROR(TEXTJOIN("; ",TRUE,FILTER(tblContacts[Contact_Value],(tblContacts[Entity_ID]=[@Entity_ID])*(tblContacts[Contact_Type]="URL"))),"")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30" customWidth="1" min="6" max="6"/>
  </cols>
  <sheetData>
    <row r="1">
      <c r="A1" s="1" t="inlineStr">
        <is>
          <t>Entity_ID</t>
        </is>
      </c>
      <c r="B1" s="1" t="inlineStr">
        <is>
          <t>Canonical_Name</t>
        </is>
      </c>
      <c r="C1" s="1" t="inlineStr">
        <is>
          <t>Entity_Type</t>
        </is>
      </c>
      <c r="D1" s="1" t="inlineStr">
        <is>
          <t>DOB</t>
        </is>
      </c>
      <c r="E1" s="1" t="inlineStr">
        <is>
          <t>DOD</t>
        </is>
      </c>
      <c r="F1" s="1" t="inlineStr">
        <is>
          <t>Notes</t>
        </is>
      </c>
    </row>
    <row r="2">
      <c r="A2" s="2" t="inlineStr">
        <is>
          <t>E001</t>
        </is>
      </c>
      <c r="B2" s="2" t="inlineStr">
        <is>
          <t>Alice Johnson</t>
        </is>
      </c>
      <c r="C2" s="2" t="inlineStr">
        <is>
          <t>Person</t>
        </is>
      </c>
      <c r="D2" s="2" t="inlineStr">
        <is>
          <t>1980-03-15</t>
        </is>
      </c>
      <c r="E2" s="2" t="inlineStr"/>
      <c r="F2" s="2" t="inlineStr"/>
    </row>
    <row r="3">
      <c r="A3" s="2" t="inlineStr">
        <is>
          <t>E002</t>
        </is>
      </c>
      <c r="B3" s="2" t="inlineStr">
        <is>
          <t>Acme Corp</t>
        </is>
      </c>
      <c r="C3" s="2" t="inlineStr">
        <is>
          <t>Organization</t>
        </is>
      </c>
      <c r="D3" s="2" t="inlineStr"/>
      <c r="E3" s="2" t="inlineStr"/>
      <c r="F3" s="2" t="inlineStr"/>
    </row>
    <row r="4">
      <c r="A4" s="2" t="inlineStr">
        <is>
          <t>E003</t>
        </is>
      </c>
      <c r="B4" s="2" t="inlineStr">
        <is>
          <t>Bob Smith</t>
        </is>
      </c>
      <c r="C4" s="2" t="inlineStr">
        <is>
          <t>Person</t>
        </is>
      </c>
      <c r="D4" s="2" t="inlineStr">
        <is>
          <t>1975-07-22</t>
        </is>
      </c>
      <c r="E4" s="2" t="inlineStr">
        <is>
          <t>2023-01-10</t>
        </is>
      </c>
      <c r="F4" s="2" t="inlineStr">
        <is>
          <t>Deceased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</cols>
  <sheetData>
    <row r="1">
      <c r="A1" s="1" t="inlineStr">
        <is>
          <t>Entity_ID</t>
        </is>
      </c>
      <c r="B1" s="1" t="inlineStr">
        <is>
          <t>Alias_Value</t>
        </is>
      </c>
    </row>
    <row r="2">
      <c r="A2" s="2" t="inlineStr">
        <is>
          <t>E001</t>
        </is>
      </c>
      <c r="B2" s="2" t="inlineStr">
        <is>
          <t>AJ</t>
        </is>
      </c>
    </row>
    <row r="3">
      <c r="A3" s="2" t="inlineStr">
        <is>
          <t>E003</t>
        </is>
      </c>
      <c r="B3" s="2" t="inlineStr">
        <is>
          <t>Robert Smith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35" customWidth="1" min="3" max="3"/>
  </cols>
  <sheetData>
    <row r="1">
      <c r="A1" s="1" t="inlineStr">
        <is>
          <t>Entity_ID</t>
        </is>
      </c>
      <c r="B1" s="1" t="inlineStr">
        <is>
          <t>Contact_Type</t>
        </is>
      </c>
      <c r="C1" s="1" t="inlineStr">
        <is>
          <t>Contact_Value</t>
        </is>
      </c>
    </row>
    <row r="2">
      <c r="A2" s="2" t="inlineStr">
        <is>
          <t>E001</t>
        </is>
      </c>
      <c r="B2" s="2" t="inlineStr">
        <is>
          <t>Email</t>
        </is>
      </c>
      <c r="C2" s="2" t="inlineStr">
        <is>
          <t>alice@example.com</t>
        </is>
      </c>
    </row>
    <row r="3">
      <c r="A3" s="2" t="inlineStr">
        <is>
          <t>E001</t>
        </is>
      </c>
      <c r="B3" s="2" t="inlineStr">
        <is>
          <t>Phone Mobile</t>
        </is>
      </c>
      <c r="C3" s="2" t="inlineStr">
        <is>
          <t>555-0101</t>
        </is>
      </c>
    </row>
    <row r="4">
      <c r="A4" s="2" t="inlineStr">
        <is>
          <t>E002</t>
        </is>
      </c>
      <c r="B4" s="2" t="inlineStr">
        <is>
          <t>Email</t>
        </is>
      </c>
      <c r="C4" s="2" t="inlineStr">
        <is>
          <t>info@acme.com</t>
        </is>
      </c>
    </row>
    <row r="5">
      <c r="A5" s="2" t="inlineStr">
        <is>
          <t>E002</t>
        </is>
      </c>
      <c r="B5" s="2" t="inlineStr">
        <is>
          <t>URL</t>
        </is>
      </c>
      <c r="C5" s="2" t="inlineStr">
        <is>
          <t>https://acme.com</t>
        </is>
      </c>
    </row>
    <row r="6">
      <c r="A6" s="2" t="inlineStr">
        <is>
          <t>E003</t>
        </is>
      </c>
      <c r="B6" s="2" t="inlineStr">
        <is>
          <t>Phone Main</t>
        </is>
      </c>
      <c r="C6" s="2" t="inlineStr">
        <is>
          <t>555-0202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20" customWidth="1" min="3" max="3"/>
    <col width="30" customWidth="1" min="4" max="4"/>
  </cols>
  <sheetData>
    <row r="1">
      <c r="A1" s="1" t="inlineStr">
        <is>
          <t>Entity_ID</t>
        </is>
      </c>
      <c r="B1" s="1" t="inlineStr">
        <is>
          <t>Matter</t>
        </is>
      </c>
      <c r="C1" s="1" t="inlineStr">
        <is>
          <t>Role_Context</t>
        </is>
      </c>
      <c r="D1" s="1" t="inlineStr">
        <is>
          <t>Notes</t>
        </is>
      </c>
    </row>
    <row r="2">
      <c r="A2" s="2" t="inlineStr">
        <is>
          <t>E001</t>
        </is>
      </c>
      <c r="B2" s="2" t="inlineStr">
        <is>
          <t>Matter-001</t>
        </is>
      </c>
      <c r="C2" s="2" t="inlineStr">
        <is>
          <t>Lead Counsel</t>
        </is>
      </c>
      <c r="D2" s="2" t="inlineStr"/>
    </row>
    <row r="3">
      <c r="A3" s="2" t="inlineStr">
        <is>
          <t>E002</t>
        </is>
      </c>
      <c r="B3" s="2" t="inlineStr">
        <is>
          <t>Matter-001</t>
        </is>
      </c>
      <c r="C3" s="2" t="inlineStr">
        <is>
          <t>Client</t>
        </is>
      </c>
      <c r="D3" s="2" t="inlineStr"/>
    </row>
    <row r="4">
      <c r="A4" s="2" t="inlineStr">
        <is>
          <t>E003</t>
        </is>
      </c>
      <c r="B4" s="2" t="inlineStr">
        <is>
          <t>Matter-002</t>
        </is>
      </c>
      <c r="C4" s="2" t="inlineStr">
        <is>
          <t>Witness</t>
        </is>
      </c>
      <c r="D4" s="2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6" customWidth="1" min="3" max="3"/>
    <col width="14" customWidth="1" min="4" max="4"/>
    <col width="14" customWidth="1" min="5" max="5"/>
    <col width="30" customWidth="1" min="6" max="6"/>
    <col width="35" customWidth="1" min="7" max="7"/>
    <col width="18" customWidth="1" min="8" max="8"/>
    <col width="18" customWidth="1" min="9" max="9"/>
    <col width="35" customWidth="1" min="10" max="10"/>
  </cols>
  <sheetData>
    <row r="1">
      <c r="A1" s="1" t="inlineStr">
        <is>
          <t>Entity_ID</t>
        </is>
      </c>
      <c r="B1" s="1" t="inlineStr">
        <is>
          <t>Canonical_Name</t>
        </is>
      </c>
      <c r="C1" s="1" t="inlineStr">
        <is>
          <t>Entity_Type</t>
        </is>
      </c>
      <c r="D1" s="1" t="inlineStr">
        <is>
          <t>DOB</t>
        </is>
      </c>
      <c r="E1" s="1" t="inlineStr">
        <is>
          <t>DOD</t>
        </is>
      </c>
      <c r="F1" s="1" t="inlineStr">
        <is>
          <t>Aliases</t>
        </is>
      </c>
      <c r="G1" s="1" t="inlineStr">
        <is>
          <t>Emails</t>
        </is>
      </c>
      <c r="H1" s="1" t="inlineStr">
        <is>
          <t>Phone_Main</t>
        </is>
      </c>
      <c r="I1" s="1" t="inlineStr">
        <is>
          <t>Phone_Mobile</t>
        </is>
      </c>
      <c r="J1" s="1" t="inlineStr">
        <is>
          <t>URLs</t>
        </is>
      </c>
    </row>
    <row r="2">
      <c r="A2">
        <f t="shared" si="0" ref="A2:A4">INDEX(tblEntities[Entity_ID],ROW()-1)</f>
        <v/>
      </c>
      <c r="B2">
        <f t="shared" si="1" ref="B2:B4">IFERROR(XLOOKUP([@Entity_ID],tblEntities[Entity_ID],tblEntities[Canonical_Name]),"")</f>
        <v/>
      </c>
      <c r="C2">
        <f t="shared" si="2" ref="C2:C4">IFERROR(XLOOKUP([@Entity_ID],tblEntities[Entity_ID],tblEntities[Entity_Type]),"")</f>
        <v/>
      </c>
      <c r="D2">
        <f t="shared" si="3" ref="D2:D4">IFERROR(XLOOKUP([@Entity_ID],tblEntities[Entity_ID],tblEntities[DOB]),"")</f>
        <v/>
      </c>
      <c r="E2">
        <f t="shared" si="4" ref="E2:E4">IFERROR(XLOOKUP([@Entity_ID],tblEntities[Entity_ID],tblEntities[DOD]),"")</f>
        <v/>
      </c>
      <c r="F2">
        <f t="shared" si="5" ref="F2:F4">IFERROR(TEXTJOIN("; ",TRUE,FILTER(tblAliases[Alias_Value],tblAliases[Entity_ID]=[@Entity_ID])),"")</f>
        <v/>
      </c>
      <c r="G2">
        <f t="shared" si="6" ref="G2:G4">IFERROR(TEXTJOIN("; ",TRUE,FILTER(tblContacts[Contact_Value],(tblContacts[Entity_ID]=[@Entity_ID])*(tblContacts[Contact_Type]="Email"))),"")</f>
        <v/>
      </c>
      <c r="H2">
        <f t="shared" si="7" ref="H2:H4">IFERROR(TEXTJOIN("; ",TRUE,FILTER(tblContacts[Contact_Value],(tblContacts[Entity_ID]=[@Entity_ID])*(tblContacts[Contact_Type]="Phone Main"))),"")</f>
        <v/>
      </c>
      <c r="I2">
        <f t="shared" si="8" ref="I2:I4">IFERROR(TEXTJOIN("; ",TRUE,FILTER(tblContacts[Contact_Value],(tblContacts[Entity_ID]=[@Entity_ID])*(tblContacts[Contact_Type]="Phone Mobile"))),"")</f>
        <v/>
      </c>
      <c r="J2">
        <f t="shared" si="9" ref="J2:J4">IFERROR(TEXTJOIN("; ",TRUE,FILTER(tblContacts[Contact_Value],(tblContacts[Entity_ID]=[@Entity_ID])*(tblContacts[Contact_Type]="URL"))),"")</f>
        <v/>
      </c>
    </row>
    <row r="3">
      <c r="A3">
        <f t="shared" si="0"/>
        <v/>
      </c>
      <c r="B3">
        <f t="shared" si="1"/>
        <v/>
      </c>
      <c r="C3">
        <f t="shared" si="2"/>
        <v/>
      </c>
      <c r="D3">
        <f t="shared" si="3"/>
        <v/>
      </c>
      <c r="E3">
        <f t="shared" si="4"/>
        <v/>
      </c>
      <c r="F3">
        <f t="shared" si="5"/>
        <v/>
      </c>
      <c r="G3">
        <f t="shared" si="6"/>
        <v/>
      </c>
      <c r="H3">
        <f t="shared" si="7"/>
        <v/>
      </c>
      <c r="I3">
        <f t="shared" si="8"/>
        <v/>
      </c>
      <c r="J3">
        <f t="shared" si="9"/>
        <v/>
      </c>
    </row>
    <row r="4">
      <c r="A4">
        <f t="shared" si="0"/>
        <v/>
      </c>
      <c r="B4">
        <f t="shared" si="1"/>
        <v/>
      </c>
      <c r="C4">
        <f t="shared" si="2"/>
        <v/>
      </c>
      <c r="D4">
        <f t="shared" si="3"/>
        <v/>
      </c>
      <c r="E4">
        <f t="shared" si="4"/>
        <v/>
      </c>
      <c r="F4">
        <f t="shared" si="5"/>
        <v/>
      </c>
      <c r="G4">
        <f t="shared" si="6"/>
        <v/>
      </c>
      <c r="H4">
        <f t="shared" si="7"/>
        <v/>
      </c>
      <c r="I4">
        <f t="shared" si="8"/>
        <v/>
      </c>
      <c r="J4">
        <f t="shared" si="9"/>
        <v/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2026-02-25T11:06:40Z</dcterms:created>
  <dcterms:modified xsi:type="dcterms:W3CDTF">2026-02-25T11:06:40Z</dcterms:modified>
</cp:coreProperties>
</file>